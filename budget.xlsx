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/Projects/iceland/"/>
    </mc:Choice>
  </mc:AlternateContent>
  <xr:revisionPtr revIDLastSave="0" documentId="13_ncr:1_{8FB69B89-A331-3240-B0AF-EADFAD87E418}" xr6:coauthVersionLast="47" xr6:coauthVersionMax="47" xr10:uidLastSave="{00000000-0000-0000-0000-000000000000}"/>
  <bookViews>
    <workbookView xWindow="0" yWindow="600" windowWidth="38400" windowHeight="21000" xr2:uid="{F9ACD375-E523-BC40-9786-0B843CDBF6E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1" i="1" l="1"/>
  <c r="E4" i="1"/>
  <c r="I5" i="1" a="1"/>
  <c r="I5" i="1" s="1"/>
  <c r="E9" i="1" s="1"/>
  <c r="I4" i="1" a="1"/>
  <c r="I4" i="1" s="1"/>
  <c r="E5" i="1" s="1"/>
  <c r="E2" i="1"/>
  <c r="E7" i="1" l="1"/>
  <c r="E8" i="1"/>
  <c r="E13" i="1" l="1"/>
  <c r="E14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1"/>
        </ext>
      </extLst>
    </bk>
    <bk>
      <extLst>
        <ext uri="{3e2802c4-a4d2-4d8b-9148-e3be6c30e623}">
          <xlrd:rvb i="3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<sst xmlns="http://schemas.openxmlformats.org/spreadsheetml/2006/main" count="29" uniqueCount="26">
  <si>
    <t>Item</t>
  </si>
  <si>
    <t>Source</t>
  </si>
  <si>
    <t>Price</t>
  </si>
  <si>
    <t>Note</t>
  </si>
  <si>
    <t>Day</t>
  </si>
  <si>
    <t>Hotel</t>
  </si>
  <si>
    <t>Old Town Reykjavik</t>
  </si>
  <si>
    <t>Total</t>
  </si>
  <si>
    <t>Total / Person</t>
  </si>
  <si>
    <t>Car</t>
  </si>
  <si>
    <t>Hertz</t>
  </si>
  <si>
    <t>Camping Equipment</t>
  </si>
  <si>
    <t>Iceland Camping Equipment</t>
  </si>
  <si>
    <t>Ravencliff Lodge</t>
  </si>
  <si>
    <t>Plane Ticket</t>
  </si>
  <si>
    <t>Air Canada</t>
  </si>
  <si>
    <t>Gas</t>
  </si>
  <si>
    <t>Assuming $3/L and 12L/100km and extra 200km</t>
  </si>
  <si>
    <t>Camping</t>
  </si>
  <si>
    <t>https://campegilsstadir.is/opening-hours-prices/</t>
  </si>
  <si>
    <t>https://www.vestrahorn.is/campsite</t>
  </si>
  <si>
    <t>https://www.vikcamping.is/vik-camping.html</t>
  </si>
  <si>
    <t>Food</t>
  </si>
  <si>
    <t>AI hallucination</t>
  </si>
  <si>
    <t>Parking</t>
  </si>
  <si>
    <t>Rough Estimate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</si>
</sst>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72" formatCode="_-[$$-1009]* #,##0.00_-;\-[$$-1009]* #,##0.00_-;_-[$$-1009]* &quot;-&quot;??_-;_-@_-"/>
    <numFmt numFmtId="173" formatCode="_([$$-1009]* #,##0.00_);_([$$-1009]* \(#,##0.00\);_([$$-1009]* &quot;-&quot;??_);_(@_)"/>
    <numFmt numFmtId="175" formatCode="_([$$-1009]* #,##0.0000_);_([$$-1009]* \(#,##0.0000\);_([$$-1009]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172" fontId="0" fillId="0" borderId="0" xfId="0" applyNumberFormat="1"/>
    <xf numFmtId="173" fontId="0" fillId="0" borderId="0" xfId="0" applyNumberFormat="1"/>
    <xf numFmtId="175" fontId="0" fillId="0" borderId="0" xfId="0" applyNumberFormat="1"/>
    <xf numFmtId="0" fontId="3" fillId="0" borderId="0" xfId="2"/>
    <xf numFmtId="44" fontId="0" fillId="0" borderId="0" xfId="1" applyFont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ichStyles" Target="richData/richStyl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12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11" Type="http://schemas.microsoft.com/office/2017/06/relationships/rdRichValueTypes" Target="richData/rdRichValueTypes.xml"/><Relationship Id="rId5" Type="http://schemas.openxmlformats.org/officeDocument/2006/relationships/sheetMetadata" Target="metadata.xml"/><Relationship Id="rId10" Type="http://schemas.microsoft.com/office/2017/06/relationships/rdSupportingPropertyBag" Target="richData/rdsupportingpropertybag.xml"/><Relationship Id="rId4" Type="http://schemas.openxmlformats.org/officeDocument/2006/relationships/sharedStrings" Target="sharedStrings.xml"/><Relationship Id="rId9" Type="http://schemas.microsoft.com/office/2017/06/relationships/rdSupportingPropertyBagStructure" Target="richData/rdsupportingpropertybag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linkedentity">
      <keyFlags>
        <key name="%cvi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linkedentitycore">
      <keyFlags>
        <key name="%EntityServiceId">
          <flag name="ShowInCardView" value="0"/>
          <flag name="ShowInDotNotation" value="0"/>
          <flag name="ShowInAutoComplete" value="0"/>
        </key>
        <key name="%EntitySubDomain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IsRefreshable">
          <flag name="ShowInCardView" value="0"/>
          <flag name="ShowInDotNotation" value="0"/>
          <flag name="ShowInAutoComplete" value="0"/>
          <flag name="ExcludeFromCalcComparison" value="1"/>
        </key>
        <key name="%ProviderInfo">
          <flag name="ShowInCardView" value="0"/>
          <flag name="ShowInDotNotation" value="0"/>
          <flag name="ShowInAutoComplete" value="0"/>
        </key>
        <key name="%DataProviderExternalLinkLogo">
          <flag name="ShowInCardView" value="0"/>
          <flag name="ShowInDotNotation" value="0"/>
          <flag name="ShowInAutoComplete" value="0"/>
        </key>
        <key name="%DataProviderExternalLink">
          <flag name="ShowInCardView" value="0"/>
          <flag name="ShowInDotNotation" value="0"/>
          <flag name="ShowInAutoComplete" value="0"/>
        </key>
        <key name="%OutdatedReason">
          <flag name="ShowInCardView" value="0"/>
          <flag name="ShowInDotNotation" value="0"/>
          <flag name="ShowInAutoComplete" value="0"/>
          <flag name="ExcludeFromCalcComparison" value="1"/>
        </key>
      </keyFlags>
    </type>
  </types>
</rvTypesInfo>
</file>

<file path=xl/richData/rdrichvalue.xml><?xml version="1.0" encoding="utf-8"?>
<rvData xmlns="http://schemas.microsoft.com/office/spreadsheetml/2017/richdata" count="4">
  <rv s="0">
    <v>0</v>
    <v>EUR/CAD</v>
    <v>2</v>
    <v>3</v>
    <v>Finance</v>
    <v>4</v>
    <v>en-US</v>
    <v>av8ttc</v>
    <v>268435456</v>
    <v>1</v>
    <v>Powered by Refinitiv</v>
    <v>1.6468</v>
    <v>1.5607</v>
    <v>2.5000000000000001E-3</v>
    <v>1.554E-3</v>
    <v>CAD</v>
    <v>EUR</v>
    <v>Currency Pair</v>
    <v>46290.874976851854</v>
    <v>Euro/Canadian Dollar FX Cross Rate</v>
    <v>1.6083000000000001</v>
    <v>1.6108</v>
    <v>EURCAD</v>
    <v>EUR/CAD</v>
  </rv>
  <rv s="1">
    <v>0</v>
  </rv>
  <rv s="0">
    <v>0</v>
    <v>ISK/CAD</v>
    <v>2</v>
    <v>3</v>
    <v>Finance</v>
    <v>4</v>
    <v>en-US</v>
    <v>avc6k2</v>
    <v>268435456</v>
    <v>1</v>
    <v>Powered by Refinitiv</v>
    <v>1.18E-2</v>
    <v>1.074E-2</v>
    <v>3.4E-5</v>
    <v>2.9039999999999999E-3</v>
    <v>CAD</v>
    <v>ISK</v>
    <v>Currency Pair</v>
    <v>46290.874965277777</v>
    <v>Icelandic Krona/Canadian Dollar FX Cross Rate</v>
    <v>1.171E-2</v>
    <v>1.174E-2</v>
    <v>ISKCAD</v>
    <v>ISK/CAD</v>
  </rv>
  <rv s="1">
    <v>2</v>
  </rv>
</rvData>
</file>

<file path=xl/richData/rdrichvaluestructure.xml><?xml version="1.0" encoding="utf-8"?>
<rvStructures xmlns="http://schemas.microsoft.com/office/spreadsheetml/2017/richdata" count="2">
  <s t="_linkedentitycore">
    <k n="_Display" t="spb"/>
    <k n="_DisplayString" t="s"/>
    <k n="_Flags" t="spb"/>
    <k n="_Format" t="spb"/>
    <k n="_Icon" t="s"/>
    <k n="_SubLabel" t="spb"/>
    <k n="%EntityCulture" t="s"/>
    <k n="%EntityId" t="s"/>
    <k n="%EntityServiceId"/>
    <k n="%IsRefreshable" t="b"/>
    <k n="%ProviderInfo" t="s"/>
    <k n="52 week high"/>
    <k n="52 week low"/>
    <k n="Change"/>
    <k n="Change (%)"/>
    <k n="Currency" t="s"/>
    <k n="From currency" t="s"/>
    <k n="Instrument type" t="s"/>
    <k n="Last trade time"/>
    <k n="Name" t="s"/>
    <k n="Previous close"/>
    <k n="Price"/>
    <k n="Ticker symbol" t="s"/>
    <k n="UniqueName" t="s"/>
  </s>
  <s t="_linkedentity">
    <k n="%cvi" t="r"/>
  </s>
</rvStructures>
</file>

<file path=xl/richData/rdsupportingpropertybag.xml><?xml version="1.0" encoding="utf-8"?>
<supportingPropertyBags xmlns="http://schemas.microsoft.com/office/spreadsheetml/2017/richdata2">
  <spbArrays count="1">
    <a count="24">
      <v t="s">%EntityServiceId</v>
      <v t="s">_Format</v>
      <v t="s">%IsRefreshable</v>
      <v t="s">%EntityCulture</v>
      <v t="s">%EntityId</v>
      <v t="s">_Icon</v>
      <v t="s">_Display</v>
      <v t="s">Name</v>
      <v t="s">Price</v>
      <v t="s">_SubLabel</v>
      <v t="s">Last trade time</v>
      <v t="s">Ticker symbol</v>
      <v t="s">Change</v>
      <v t="s">Change (%)</v>
      <v t="s">Currency</v>
      <v t="s">From currency</v>
      <v t="s">Previous close</v>
      <v t="s">52 week high</v>
      <v t="s">52 week low</v>
      <v t="s">Instrument type</v>
      <v t="s">_Flags</v>
      <v t="s">UniqueName</v>
      <v t="s">_DisplayString</v>
      <v t="s">%ProviderInfo</v>
    </a>
  </spbArrays>
  <spbData count="5">
    <spb s="0">
      <v>0</v>
      <v>Name</v>
    </spb>
    <spb s="1">
      <v>0</v>
      <v>0</v>
      <v>0</v>
    </spb>
    <spb s="2">
      <v>1</v>
      <v>1</v>
    </spb>
    <spb s="3">
      <v>1</v>
      <v>2</v>
      <v>2</v>
      <v>3</v>
      <v>2</v>
      <v>2</v>
      <v>2</v>
      <v>4</v>
      <v>5</v>
    </spb>
    <spb s="4">
      <v>GMT</v>
    </spb>
  </spbData>
</supportingPropertyBags>
</file>

<file path=xl/richData/rdsupportingpropertybagstructure.xml><?xml version="1.0" encoding="utf-8"?>
<spbStructures xmlns="http://schemas.microsoft.com/office/spreadsheetml/2017/richdata2" count="5">
  <s>
    <k n="^Order" t="spba"/>
    <k n="TitleProperty" t="s"/>
  </s>
  <s>
    <k n="ShowInCardView" t="b"/>
    <k n="ShowInDotNotation" t="b"/>
    <k n="ShowInAutoComplete" t="b"/>
  </s>
  <s>
    <k n="UniqueName" t="spb"/>
    <k n="`%ProviderInfo" t="spb"/>
  </s>
  <s>
    <k n="Name" t="i"/>
    <k n="Price" t="i"/>
    <k n="Change" t="i"/>
    <k n="Change (%)" t="i"/>
    <k n="52 week low" t="i"/>
    <k n="52 week high" t="i"/>
    <k n="Previous close" t="i"/>
    <k n="Last trade time" t="i"/>
    <k n="`%EntityServiceId" t="i"/>
  </s>
  <s>
    <k n="Last trade time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4">
    <x:dxf>
      <x:numFmt numFmtId="2" formatCode="0.00"/>
    </x:dxf>
    <x:dxf>
      <x:numFmt numFmtId="0" formatCode="General"/>
    </x:dxf>
    <x:dxf>
      <x:numFmt numFmtId="27" formatCode="yyyy/mm/dd\ h:mm"/>
    </x:dxf>
    <x:dxf>
      <x:numFmt numFmtId="14" formatCode="0.00%"/>
    </x:dxf>
  </dxfs>
  <richProperties>
    <rPr n="IsTitleField" t="b"/>
    <rPr n="NumberFormat" t="s"/>
  </richProperties>
  <richStyles>
    <rSty>
      <rpv i="0">1</rpv>
    </rSty>
    <rSty dxfid="1">
      <rpv i="1">_([$$-en-CA]* #,##0.00_);_([$$-en-CA]* (#,##0.00);_([$$-en-CA]* "-"??_);_(@_)</rpv>
    </rSty>
    <rSty dxfid="3"/>
    <rSty dxfid="2"/>
    <rSty dxfid="0">
      <rpv i="1">0.00</rpv>
    </rSty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vikcamping.is/vik-camping.html" TargetMode="External"/><Relationship Id="rId2" Type="http://schemas.openxmlformats.org/officeDocument/2006/relationships/hyperlink" Target="https://www.vestrahorn.is/campsite" TargetMode="External"/><Relationship Id="rId1" Type="http://schemas.openxmlformats.org/officeDocument/2006/relationships/hyperlink" Target="https://campegilsstadir.is/opening-hours-pric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C78CB-DC32-C84D-A96A-543FCE64AE1B}">
  <dimension ref="A1:I14"/>
  <sheetViews>
    <sheetView tabSelected="1" zoomScale="130" zoomScaleNormal="130" workbookViewId="0">
      <selection activeCell="E23" sqref="E23"/>
    </sheetView>
  </sheetViews>
  <sheetFormatPr baseColWidth="10" defaultRowHeight="16" x14ac:dyDescent="0.2"/>
  <cols>
    <col min="1" max="1" width="18" customWidth="1"/>
    <col min="2" max="2" width="24.1640625" customWidth="1"/>
    <col min="4" max="4" width="40" customWidth="1"/>
  </cols>
  <sheetData>
    <row r="1" spans="1:9" x14ac:dyDescent="0.2">
      <c r="A1" s="1" t="s">
        <v>0</v>
      </c>
      <c r="B1" s="1" t="s">
        <v>1</v>
      </c>
      <c r="C1" s="1" t="s">
        <v>4</v>
      </c>
      <c r="D1" s="1" t="s">
        <v>3</v>
      </c>
      <c r="E1" s="1" t="s">
        <v>2</v>
      </c>
    </row>
    <row r="2" spans="1:9" x14ac:dyDescent="0.2">
      <c r="A2" t="s">
        <v>14</v>
      </c>
      <c r="B2" t="s">
        <v>15</v>
      </c>
      <c r="E2" s="2">
        <f>763.71*3</f>
        <v>2291.13</v>
      </c>
    </row>
    <row r="3" spans="1:9" x14ac:dyDescent="0.2">
      <c r="A3" t="s">
        <v>9</v>
      </c>
      <c r="B3" t="s">
        <v>10</v>
      </c>
      <c r="E3" s="2">
        <v>637.04999999999995</v>
      </c>
    </row>
    <row r="4" spans="1:9" x14ac:dyDescent="0.2">
      <c r="A4" t="s">
        <v>16</v>
      </c>
      <c r="D4" t="s">
        <v>17</v>
      </c>
      <c r="E4" s="2">
        <f>3*0.12*SUM(414, 669, 228, 278, 211, 200)</f>
        <v>720</v>
      </c>
      <c r="H4" t="e" vm="1">
        <v>#VALUE!</v>
      </c>
      <c r="I4" s="3" cm="1">
        <f t="array" aca="1" ref="I4" ca="1">_FV(H4,"Price")</f>
        <v>1.6108</v>
      </c>
    </row>
    <row r="5" spans="1:9" x14ac:dyDescent="0.2">
      <c r="A5" t="s">
        <v>11</v>
      </c>
      <c r="B5" t="s">
        <v>12</v>
      </c>
      <c r="E5" s="2">
        <f ca="1">263.7*I4</f>
        <v>424.76795999999996</v>
      </c>
      <c r="H5" t="e" vm="2">
        <v>#VALUE!</v>
      </c>
      <c r="I5" s="4" cm="1">
        <f t="array" aca="1" ref="I5" ca="1">_FV(H5,"Price")</f>
        <v>1.174E-2</v>
      </c>
    </row>
    <row r="6" spans="1:9" x14ac:dyDescent="0.2">
      <c r="A6" t="s">
        <v>5</v>
      </c>
      <c r="B6" t="s">
        <v>13</v>
      </c>
      <c r="C6">
        <v>1</v>
      </c>
      <c r="E6" s="2">
        <v>198.86</v>
      </c>
    </row>
    <row r="7" spans="1:9" x14ac:dyDescent="0.2">
      <c r="A7" t="s">
        <v>18</v>
      </c>
      <c r="B7" s="5" t="s">
        <v>19</v>
      </c>
      <c r="C7">
        <v>2</v>
      </c>
      <c r="E7" s="2">
        <f ca="1">2950*3*I5</f>
        <v>103.899</v>
      </c>
    </row>
    <row r="8" spans="1:9" x14ac:dyDescent="0.2">
      <c r="A8" t="s">
        <v>18</v>
      </c>
      <c r="B8" s="5" t="s">
        <v>20</v>
      </c>
      <c r="C8">
        <v>3</v>
      </c>
      <c r="E8" s="2">
        <f ca="1">2800*3*I5</f>
        <v>98.616</v>
      </c>
    </row>
    <row r="9" spans="1:9" x14ac:dyDescent="0.2">
      <c r="A9" t="s">
        <v>18</v>
      </c>
      <c r="B9" s="5" t="s">
        <v>21</v>
      </c>
      <c r="C9">
        <v>4</v>
      </c>
      <c r="E9" s="2">
        <f ca="1">(2200*3+400)*I5</f>
        <v>82.18</v>
      </c>
    </row>
    <row r="10" spans="1:9" x14ac:dyDescent="0.2">
      <c r="A10" t="s">
        <v>5</v>
      </c>
      <c r="B10" t="s">
        <v>6</v>
      </c>
      <c r="C10">
        <v>5</v>
      </c>
      <c r="E10" s="2">
        <v>182.87</v>
      </c>
    </row>
    <row r="11" spans="1:9" x14ac:dyDescent="0.2">
      <c r="A11" t="s">
        <v>22</v>
      </c>
      <c r="B11" t="s">
        <v>23</v>
      </c>
      <c r="E11" s="2">
        <f>350*3</f>
        <v>1050</v>
      </c>
    </row>
    <row r="12" spans="1:9" x14ac:dyDescent="0.2">
      <c r="A12" t="s">
        <v>24</v>
      </c>
      <c r="B12" t="s">
        <v>25</v>
      </c>
      <c r="E12" s="6">
        <v>100</v>
      </c>
    </row>
    <row r="13" spans="1:9" x14ac:dyDescent="0.2">
      <c r="D13" s="1" t="s">
        <v>7</v>
      </c>
      <c r="E13" s="2">
        <f ca="1">SUM(E2:E12)</f>
        <v>5889.3729600000006</v>
      </c>
    </row>
    <row r="14" spans="1:9" x14ac:dyDescent="0.2">
      <c r="D14" s="1" t="s">
        <v>8</v>
      </c>
      <c r="E14" s="2">
        <f ca="1">E13/3</f>
        <v>1963.1243200000001</v>
      </c>
    </row>
  </sheetData>
  <hyperlinks>
    <hyperlink ref="B7" r:id="rId1" xr:uid="{DD1D8E33-C914-CA4F-9385-9C0696D053AB}"/>
    <hyperlink ref="B8" r:id="rId2" xr:uid="{EE6EAB7C-5AAC-2D4B-9822-64E90195DDE3}"/>
    <hyperlink ref="B9" r:id="rId3" xr:uid="{CBCC3A98-8096-1D4E-AD96-F74A9D96A60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Benoit</dc:creator>
  <cp:lastModifiedBy>Charles Benoit</cp:lastModifiedBy>
  <dcterms:created xsi:type="dcterms:W3CDTF">2026-09-25T23:27:01Z</dcterms:created>
  <dcterms:modified xsi:type="dcterms:W3CDTF">2026-09-27T11:50:14Z</dcterms:modified>
</cp:coreProperties>
</file>